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usal\Downloads\"/>
    </mc:Choice>
  </mc:AlternateContent>
  <xr:revisionPtr revIDLastSave="0" documentId="13_ncr:1_{24AD3155-44BE-4614-80B5-E8F8FE10C181}" xr6:coauthVersionLast="47" xr6:coauthVersionMax="47" xr10:uidLastSave="{00000000-0000-0000-0000-000000000000}"/>
  <bookViews>
    <workbookView xWindow="3072" yWindow="3072" windowWidth="17280" windowHeight="9960" tabRatio="500" activeTab="2" xr2:uid="{00000000-000D-0000-FFFF-FFFF00000000}"/>
  </bookViews>
  <sheets>
    <sheet name="ticket" sheetId="1" r:id="rId1"/>
    <sheet name="feedbacks" sheetId="2" r:id="rId2"/>
    <sheet name="Analysi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1" i="2" l="1"/>
  <c r="D11" i="2"/>
  <c r="E11" i="2" s="1"/>
  <c r="F11" i="2" s="1"/>
  <c r="G10" i="2"/>
  <c r="D10" i="2"/>
  <c r="E10" i="2" s="1"/>
  <c r="F10" i="2" s="1"/>
  <c r="G9" i="2"/>
  <c r="D9" i="2"/>
  <c r="E9" i="2" s="1"/>
  <c r="F9" i="2" s="1"/>
  <c r="G8" i="2"/>
  <c r="D8" i="2"/>
  <c r="E8" i="2" s="1"/>
  <c r="F8" i="2" s="1"/>
  <c r="G7" i="2"/>
  <c r="D7" i="2"/>
  <c r="E7" i="2" s="1"/>
  <c r="F7" i="2" s="1"/>
  <c r="G6" i="2"/>
  <c r="D6" i="2"/>
  <c r="E6" i="2" s="1"/>
  <c r="F6" i="2" s="1"/>
  <c r="G5" i="2"/>
  <c r="D5" i="2"/>
  <c r="E5" i="2" s="1"/>
  <c r="G4" i="2"/>
  <c r="D4" i="2"/>
  <c r="E4" i="2" s="1"/>
  <c r="F4" i="2" s="1"/>
  <c r="G3" i="2"/>
  <c r="D3" i="2"/>
  <c r="E3" i="2" s="1"/>
  <c r="G2" i="2"/>
  <c r="D2" i="2"/>
  <c r="E2" i="2" s="1"/>
  <c r="B7" i="3" l="1"/>
  <c r="F5" i="2"/>
  <c r="B13" i="3" s="1"/>
  <c r="B5" i="3"/>
  <c r="F2" i="2"/>
  <c r="B11" i="3" s="1"/>
  <c r="B6" i="3"/>
  <c r="F3" i="2"/>
  <c r="B12" i="3" s="1"/>
</calcChain>
</file>

<file path=xl/sharedStrings.xml><?xml version="1.0" encoding="utf-8"?>
<sst xmlns="http://schemas.openxmlformats.org/spreadsheetml/2006/main" count="96" uniqueCount="69">
  <si>
    <t>ticket_id</t>
  </si>
  <si>
    <t>created_at</t>
  </si>
  <si>
    <t>closed_at</t>
  </si>
  <si>
    <t>outlet_id</t>
  </si>
  <si>
    <t>cms_id</t>
  </si>
  <si>
    <t>isu-sjd-457</t>
  </si>
  <si>
    <t>2021-08-19 16:45:43</t>
  </si>
  <si>
    <t>2021-08-22 12:33:32</t>
  </si>
  <si>
    <t>wrqy-juv-978</t>
  </si>
  <si>
    <t>vew-iuvd-12</t>
  </si>
  <si>
    <t>qer-fal-092</t>
  </si>
  <si>
    <t>2021-08-21 11:09:22</t>
  </si>
  <si>
    <t>2021-08-21 17:13:45</t>
  </si>
  <si>
    <t>8woh-k3u-23b</t>
  </si>
  <si>
    <t>cms-xkd-88</t>
  </si>
  <si>
    <t>tpl-mno-331</t>
  </si>
  <si>
    <t>2021-08-21 09:30:00</t>
  </si>
  <si>
    <t>2021-08-21 09:55:00</t>
  </si>
  <si>
    <t>cms-abc-01</t>
  </si>
  <si>
    <t>uvw-xyz-119</t>
  </si>
  <si>
    <t>2021-08-22 14:00:00</t>
  </si>
  <si>
    <t>2021-08-23 10:00:00</t>
  </si>
  <si>
    <t>loc-bnm-445</t>
  </si>
  <si>
    <t>cms-def-02</t>
  </si>
  <si>
    <t>rst-uvw-204</t>
  </si>
  <si>
    <t>2021-08-23 08:15:00</t>
  </si>
  <si>
    <t>2021-08-23 08:50:00</t>
  </si>
  <si>
    <t>cms-ghi-03</t>
  </si>
  <si>
    <t>lmn-opq-567</t>
  </si>
  <si>
    <t>2021-08-24 10:00:00</t>
  </si>
  <si>
    <t>2021-08-24 10:45:00</t>
  </si>
  <si>
    <t>cms-jkl-04</t>
  </si>
  <si>
    <t>bcd-efg-789</t>
  </si>
  <si>
    <t>2021-08-24 13:30:00</t>
  </si>
  <si>
    <t>2021-08-25 09:00:00</t>
  </si>
  <si>
    <t>cms-mno-05</t>
  </si>
  <si>
    <t>hij-klm-321</t>
  </si>
  <si>
    <t>2021-08-25 11:00:00</t>
  </si>
  <si>
    <t>2021-08-25 11:40:00</t>
  </si>
  <si>
    <t>cms-pqr-06</t>
  </si>
  <si>
    <t>nop-qrs-654</t>
  </si>
  <si>
    <t>2021-08-25 15:20:00</t>
  </si>
  <si>
    <t>2021-08-26 08:00:00</t>
  </si>
  <si>
    <t>cms-stu-07</t>
  </si>
  <si>
    <t>tuv-wxy-987</t>
  </si>
  <si>
    <t>2021-08-26 09:00:00</t>
  </si>
  <si>
    <t>2021-08-26 09:30:00</t>
  </si>
  <si>
    <t>cms-vwx-08</t>
  </si>
  <si>
    <t>feedback_at</t>
  </si>
  <si>
    <t>feedback_rating</t>
  </si>
  <si>
    <t>ticket_created_at</t>
  </si>
  <si>
    <t>Same Day?</t>
  </si>
  <si>
    <t>Same Hour?</t>
  </si>
  <si>
    <t>2021-08-21 13:26:48</t>
  </si>
  <si>
    <t>2021-08-22 10:00:00</t>
  </si>
  <si>
    <t>2021-08-21 09:40:00</t>
  </si>
  <si>
    <t>2021-08-23 14:30:00</t>
  </si>
  <si>
    <t>2021-08-23 08:30:00</t>
  </si>
  <si>
    <t>2021-08-24 11:00:00</t>
  </si>
  <si>
    <t>2021-08-25 12:00:00</t>
  </si>
  <si>
    <t>2021-08-25 11:20:00</t>
  </si>
  <si>
    <t>2021-08-26 09:15:00</t>
  </si>
  <si>
    <t>Outlet-wise Ticket Analysis</t>
  </si>
  <si>
    <t>Q2a — Tickets created &amp; closed on the SAME DAY</t>
  </si>
  <si>
    <t>Outlet ID</t>
  </si>
  <si>
    <t>Count (Same Day)</t>
  </si>
  <si>
    <t>Q2b — Tickets created &amp; closed in the SAME HOUR of the SAME DAY</t>
  </si>
  <si>
    <t>Count (Same Hour)</t>
  </si>
  <si>
    <t>Notes: 'Same Day' = created_at date equals closed_at date | 'Same Hour' = same day AND same hour of day | Uses INT() to strip time for date comparison, HOUR() for hour extraction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</si>
</sst>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1F4E79"/>
      <name val="Arial"/>
      <charset val="1"/>
    </font>
    <font>
      <sz val="10"/>
      <color rgb="FF375623"/>
      <name val="Arial"/>
      <charset val="1"/>
    </font>
    <font>
      <b/>
      <sz val="13"/>
      <color rgb="FF1F4E79"/>
      <name val="Arial"/>
      <charset val="1"/>
    </font>
    <font>
      <b/>
      <sz val="10"/>
      <name val="Arial"/>
      <charset val="1"/>
    </font>
    <font>
      <i/>
      <sz val="9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FFF2CC"/>
      </patternFill>
    </fill>
    <fill>
      <patternFill patternType="solid">
        <fgColor rgb="FF375623"/>
        <bgColor rgb="FF333300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2" fillId="3" borderId="1" xfId="0" applyFont="1" applyFill="1" applyBorder="1" applyAlignment="1">
      <alignment horizontal="center" vertical="center"/>
    </xf>
    <xf numFmtId="0" fontId="7" fillId="6" borderId="0" xfId="0" applyFont="1" applyFill="1" applyAlignment="1">
      <alignment wrapText="1"/>
    </xf>
    <xf numFmtId="0" fontId="8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8" customWidth="1"/>
    <col min="2" max="3" width="22" customWidth="1"/>
    <col min="4" max="4" width="18" customWidth="1"/>
    <col min="5" max="5" width="16" customWidth="1"/>
  </cols>
  <sheetData>
    <row r="1" spans="1:5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8" customHeight="1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18" customHeight="1" x14ac:dyDescent="0.3">
      <c r="A4" s="2" t="s">
        <v>15</v>
      </c>
      <c r="B4" s="2" t="s">
        <v>16</v>
      </c>
      <c r="C4" s="2" t="s">
        <v>17</v>
      </c>
      <c r="D4" s="2" t="s">
        <v>8</v>
      </c>
      <c r="E4" s="2" t="s">
        <v>18</v>
      </c>
    </row>
    <row r="5" spans="1:5" ht="18" customHeight="1" x14ac:dyDescent="0.3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</row>
    <row r="6" spans="1:5" ht="18" customHeight="1" x14ac:dyDescent="0.3">
      <c r="A6" s="2" t="s">
        <v>24</v>
      </c>
      <c r="B6" s="2" t="s">
        <v>25</v>
      </c>
      <c r="C6" s="2" t="s">
        <v>26</v>
      </c>
      <c r="D6" s="2" t="s">
        <v>13</v>
      </c>
      <c r="E6" s="2" t="s">
        <v>27</v>
      </c>
    </row>
    <row r="7" spans="1:5" ht="18" customHeight="1" x14ac:dyDescent="0.3">
      <c r="A7" s="2" t="s">
        <v>28</v>
      </c>
      <c r="B7" s="2" t="s">
        <v>29</v>
      </c>
      <c r="C7" s="2" t="s">
        <v>30</v>
      </c>
      <c r="D7" s="2" t="s">
        <v>8</v>
      </c>
      <c r="E7" s="2" t="s">
        <v>31</v>
      </c>
    </row>
    <row r="8" spans="1:5" ht="18" customHeight="1" x14ac:dyDescent="0.3">
      <c r="A8" s="2" t="s">
        <v>32</v>
      </c>
      <c r="B8" s="2" t="s">
        <v>33</v>
      </c>
      <c r="C8" s="2" t="s">
        <v>34</v>
      </c>
      <c r="D8" s="2" t="s">
        <v>22</v>
      </c>
      <c r="E8" s="2" t="s">
        <v>35</v>
      </c>
    </row>
    <row r="9" spans="1:5" ht="18" customHeight="1" x14ac:dyDescent="0.3">
      <c r="A9" s="2" t="s">
        <v>36</v>
      </c>
      <c r="B9" s="2" t="s">
        <v>37</v>
      </c>
      <c r="C9" s="2" t="s">
        <v>38</v>
      </c>
      <c r="D9" s="2" t="s">
        <v>13</v>
      </c>
      <c r="E9" s="2" t="s">
        <v>39</v>
      </c>
    </row>
    <row r="10" spans="1:5" ht="18" customHeight="1" x14ac:dyDescent="0.3">
      <c r="A10" s="2" t="s">
        <v>40</v>
      </c>
      <c r="B10" s="2" t="s">
        <v>41</v>
      </c>
      <c r="C10" s="2" t="s">
        <v>42</v>
      </c>
      <c r="D10" s="2" t="s">
        <v>8</v>
      </c>
      <c r="E10" s="2" t="s">
        <v>43</v>
      </c>
    </row>
    <row r="11" spans="1:5" ht="18" customHeight="1" x14ac:dyDescent="0.3">
      <c r="A11" s="2" t="s">
        <v>44</v>
      </c>
      <c r="B11" s="2" t="s">
        <v>45</v>
      </c>
      <c r="C11" s="2" t="s">
        <v>46</v>
      </c>
      <c r="D11" s="2" t="s">
        <v>22</v>
      </c>
      <c r="E11" s="2" t="s">
        <v>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zoomScaleNormal="100" workbookViewId="0">
      <pane ySplit="1" topLeftCell="A2" activePane="bottomLeft" state="frozen"/>
      <selection pane="bottomLeft" activeCell="H10" sqref="H10"/>
    </sheetView>
  </sheetViews>
  <sheetFormatPr defaultColWidth="8.6640625" defaultRowHeight="14.4" x14ac:dyDescent="0.3"/>
  <cols>
    <col min="1" max="1" width="16" customWidth="1"/>
    <col min="2" max="2" width="22" customWidth="1"/>
    <col min="3" max="3" width="18" customWidth="1"/>
    <col min="4" max="4" width="22" customWidth="1"/>
    <col min="5" max="6" width="12" customWidth="1"/>
    <col min="7" max="7" width="18" customWidth="1"/>
  </cols>
  <sheetData>
    <row r="1" spans="1:7" ht="30" customHeight="1" x14ac:dyDescent="0.3">
      <c r="A1" s="3" t="s">
        <v>4</v>
      </c>
      <c r="B1" s="3" t="s">
        <v>48</v>
      </c>
      <c r="C1" s="3" t="s">
        <v>49</v>
      </c>
      <c r="D1" s="10" t="s">
        <v>50</v>
      </c>
      <c r="E1" s="10" t="s">
        <v>51</v>
      </c>
      <c r="F1" s="10" t="s">
        <v>52</v>
      </c>
      <c r="G1" s="10" t="s">
        <v>3</v>
      </c>
    </row>
    <row r="2" spans="1:7" ht="18" customHeight="1" x14ac:dyDescent="0.3">
      <c r="A2" s="2" t="s">
        <v>9</v>
      </c>
      <c r="B2" s="2" t="s">
        <v>53</v>
      </c>
      <c r="C2" s="2">
        <v>3</v>
      </c>
      <c r="D2" s="4" t="str">
        <f>IFERROR(INDEX(ticket!$B:$B,MATCH(A2,ticket!$E:$E,0)),"")</f>
        <v>2021-08-19 16:45:43</v>
      </c>
      <c r="E2" s="5" t="str">
        <f t="shared" ref="E2:E11" si="0">IF(AND(D2&lt;&gt;"",B2&lt;&gt;""),IF(INT(D2)=INT(B2),"Yes","No"),"")</f>
        <v>No</v>
      </c>
      <c r="F2" s="5" t="str">
        <f t="shared" ref="F2:F11" si="1">IF(AND(E2="Yes",HOUR(D2)=HOUR(B2)),"Yes","No")</f>
        <v>No</v>
      </c>
      <c r="G2" s="4" t="str">
        <f>IFERROR(INDEX(ticket!$D:$D,MATCH(A2,ticket!$E:$E,0)),"")</f>
        <v>wrqy-juv-978</v>
      </c>
    </row>
    <row r="3" spans="1:7" ht="18" customHeight="1" x14ac:dyDescent="0.3">
      <c r="A3" s="2" t="s">
        <v>14</v>
      </c>
      <c r="B3" s="2" t="s">
        <v>54</v>
      </c>
      <c r="C3" s="2">
        <v>4</v>
      </c>
      <c r="D3" s="4" t="str">
        <f>IFERROR(INDEX(ticket!$B:$B,MATCH(A3,ticket!$E:$E,0)),"")</f>
        <v>2021-08-21 11:09:22</v>
      </c>
      <c r="E3" s="5" t="str">
        <f t="shared" si="0"/>
        <v>No</v>
      </c>
      <c r="F3" s="5" t="str">
        <f t="shared" si="1"/>
        <v>No</v>
      </c>
      <c r="G3" s="4" t="str">
        <f>IFERROR(INDEX(ticket!$D:$D,MATCH(A3,ticket!$E:$E,0)),"")</f>
        <v>8woh-k3u-23b</v>
      </c>
    </row>
    <row r="4" spans="1:7" ht="18" customHeight="1" x14ac:dyDescent="0.3">
      <c r="A4" s="2" t="s">
        <v>18</v>
      </c>
      <c r="B4" s="2" t="s">
        <v>55</v>
      </c>
      <c r="C4" s="2">
        <v>5</v>
      </c>
      <c r="D4" s="4" t="str">
        <f>IFERROR(INDEX(ticket!$B:$B,MATCH(A4,ticket!$E:$E,0)),"")</f>
        <v>2021-08-21 09:30:00</v>
      </c>
      <c r="E4" s="5" t="str">
        <f t="shared" si="0"/>
        <v>Yes</v>
      </c>
      <c r="F4" s="5" t="str">
        <f t="shared" si="1"/>
        <v>Yes</v>
      </c>
      <c r="G4" s="4" t="str">
        <f>IFERROR(INDEX(ticket!$D:$D,MATCH(A4,ticket!$E:$E,0)),"")</f>
        <v>wrqy-juv-978</v>
      </c>
    </row>
    <row r="5" spans="1:7" ht="18" customHeight="1" x14ac:dyDescent="0.3">
      <c r="A5" s="2" t="s">
        <v>23</v>
      </c>
      <c r="B5" s="2" t="s">
        <v>56</v>
      </c>
      <c r="C5" s="2">
        <v>2</v>
      </c>
      <c r="D5" s="4" t="str">
        <f>IFERROR(INDEX(ticket!$B:$B,MATCH(A5,ticket!$E:$E,0)),"")</f>
        <v>2021-08-22 14:00:00</v>
      </c>
      <c r="E5" s="5" t="str">
        <f t="shared" si="0"/>
        <v>No</v>
      </c>
      <c r="F5" s="5" t="str">
        <f t="shared" si="1"/>
        <v>No</v>
      </c>
      <c r="G5" s="4" t="str">
        <f>IFERROR(INDEX(ticket!$D:$D,MATCH(A5,ticket!$E:$E,0)),"")</f>
        <v>loc-bnm-445</v>
      </c>
    </row>
    <row r="6" spans="1:7" ht="18" customHeight="1" x14ac:dyDescent="0.3">
      <c r="A6" s="2" t="s">
        <v>27</v>
      </c>
      <c r="B6" s="2" t="s">
        <v>57</v>
      </c>
      <c r="C6" s="2">
        <v>4</v>
      </c>
      <c r="D6" s="4" t="str">
        <f>IFERROR(INDEX(ticket!$B:$B,MATCH(A6,ticket!$E:$E,0)),"")</f>
        <v>2021-08-23 08:15:00</v>
      </c>
      <c r="E6" s="5" t="str">
        <f t="shared" si="0"/>
        <v>Yes</v>
      </c>
      <c r="F6" s="5" t="str">
        <f t="shared" si="1"/>
        <v>Yes</v>
      </c>
      <c r="G6" s="4" t="str">
        <f>IFERROR(INDEX(ticket!$D:$D,MATCH(A6,ticket!$E:$E,0)),"")</f>
        <v>8woh-k3u-23b</v>
      </c>
    </row>
    <row r="7" spans="1:7" ht="18" customHeight="1" x14ac:dyDescent="0.3">
      <c r="A7" s="2" t="s">
        <v>31</v>
      </c>
      <c r="B7" s="2" t="s">
        <v>58</v>
      </c>
      <c r="C7" s="2">
        <v>3</v>
      </c>
      <c r="D7" s="4" t="str">
        <f>IFERROR(INDEX(ticket!$B:$B,MATCH(A7,ticket!$E:$E,0)),"")</f>
        <v>2021-08-24 10:00:00</v>
      </c>
      <c r="E7" s="5" t="str">
        <f t="shared" si="0"/>
        <v>Yes</v>
      </c>
      <c r="F7" s="5" t="str">
        <f t="shared" si="1"/>
        <v>No</v>
      </c>
      <c r="G7" s="4" t="str">
        <f>IFERROR(INDEX(ticket!$D:$D,MATCH(A7,ticket!$E:$E,0)),"")</f>
        <v>wrqy-juv-978</v>
      </c>
    </row>
    <row r="8" spans="1:7" ht="18" customHeight="1" x14ac:dyDescent="0.3">
      <c r="A8" s="2" t="s">
        <v>35</v>
      </c>
      <c r="B8" s="2" t="s">
        <v>59</v>
      </c>
      <c r="C8" s="2">
        <v>5</v>
      </c>
      <c r="D8" s="4" t="str">
        <f>IFERROR(INDEX(ticket!$B:$B,MATCH(A8,ticket!$E:$E,0)),"")</f>
        <v>2021-08-24 13:30:00</v>
      </c>
      <c r="E8" s="5" t="str">
        <f t="shared" si="0"/>
        <v>No</v>
      </c>
      <c r="F8" s="5" t="str">
        <f t="shared" si="1"/>
        <v>No</v>
      </c>
      <c r="G8" s="4" t="str">
        <f>IFERROR(INDEX(ticket!$D:$D,MATCH(A8,ticket!$E:$E,0)),"")</f>
        <v>loc-bnm-445</v>
      </c>
    </row>
    <row r="9" spans="1:7" ht="18" customHeight="1" x14ac:dyDescent="0.3">
      <c r="A9" s="2" t="s">
        <v>39</v>
      </c>
      <c r="B9" s="2" t="s">
        <v>60</v>
      </c>
      <c r="C9" s="2">
        <v>4</v>
      </c>
      <c r="D9" s="4" t="str">
        <f>IFERROR(INDEX(ticket!$B:$B,MATCH(A9,ticket!$E:$E,0)),"")</f>
        <v>2021-08-25 11:00:00</v>
      </c>
      <c r="E9" s="5" t="str">
        <f t="shared" si="0"/>
        <v>Yes</v>
      </c>
      <c r="F9" s="5" t="str">
        <f t="shared" si="1"/>
        <v>Yes</v>
      </c>
      <c r="G9" s="4" t="str">
        <f>IFERROR(INDEX(ticket!$D:$D,MATCH(A9,ticket!$E:$E,0)),"")</f>
        <v>8woh-k3u-23b</v>
      </c>
    </row>
    <row r="10" spans="1:7" ht="18" customHeight="1" x14ac:dyDescent="0.3">
      <c r="A10" s="2" t="s">
        <v>43</v>
      </c>
      <c r="B10" s="2" t="s">
        <v>45</v>
      </c>
      <c r="C10" s="2">
        <v>2</v>
      </c>
      <c r="D10" s="4" t="str">
        <f>IFERROR(INDEX(ticket!$B:$B,MATCH(A10,ticket!$E:$E,0)),"")</f>
        <v>2021-08-25 15:20:00</v>
      </c>
      <c r="E10" s="5" t="str">
        <f t="shared" si="0"/>
        <v>No</v>
      </c>
      <c r="F10" s="5" t="str">
        <f t="shared" si="1"/>
        <v>No</v>
      </c>
      <c r="G10" s="4" t="str">
        <f>IFERROR(INDEX(ticket!$D:$D,MATCH(A10,ticket!$E:$E,0)),"")</f>
        <v>wrqy-juv-978</v>
      </c>
    </row>
    <row r="11" spans="1:7" ht="18" customHeight="1" x14ac:dyDescent="0.3">
      <c r="A11" s="2" t="s">
        <v>47</v>
      </c>
      <c r="B11" s="2" t="s">
        <v>61</v>
      </c>
      <c r="C11" s="2">
        <v>5</v>
      </c>
      <c r="D11" s="4" t="str">
        <f>IFERROR(INDEX(ticket!$B:$B,MATCH(A11,ticket!$E:$E,0)),"")</f>
        <v>2021-08-26 09:00:00</v>
      </c>
      <c r="E11" s="5" t="str">
        <f t="shared" si="0"/>
        <v>Yes</v>
      </c>
      <c r="F11" s="5" t="str">
        <f t="shared" si="1"/>
        <v>Yes</v>
      </c>
      <c r="G11" s="4" t="str">
        <f>IFERROR(INDEX(ticket!$D:$D,MATCH(A11,ticket!$E:$E,0)),"")</f>
        <v>loc-bnm-445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tabSelected="1" zoomScaleNormal="100" workbookViewId="0">
      <selection activeCell="B11" sqref="B11"/>
    </sheetView>
  </sheetViews>
  <sheetFormatPr defaultColWidth="8.6640625" defaultRowHeight="14.4" x14ac:dyDescent="0.3"/>
  <cols>
    <col min="1" max="1" width="40" customWidth="1"/>
    <col min="2" max="2" width="20" customWidth="1"/>
  </cols>
  <sheetData>
    <row r="1" spans="1:2" ht="30" customHeight="1" x14ac:dyDescent="0.3">
      <c r="A1" s="6" t="s">
        <v>62</v>
      </c>
    </row>
    <row r="2" spans="1:2" ht="18" customHeight="1" x14ac:dyDescent="0.3"/>
    <row r="3" spans="1:2" x14ac:dyDescent="0.3">
      <c r="A3" s="7" t="s">
        <v>63</v>
      </c>
    </row>
    <row r="4" spans="1:2" x14ac:dyDescent="0.3">
      <c r="A4" s="1" t="s">
        <v>64</v>
      </c>
      <c r="B4" s="1" t="s">
        <v>65</v>
      </c>
    </row>
    <row r="5" spans="1:2" ht="18" customHeight="1" x14ac:dyDescent="0.3">
      <c r="A5" s="2" t="s">
        <v>8</v>
      </c>
      <c r="B5" s="8">
        <f>COUNTIFS(feedbacks!$G:$G,A5,feedbacks!$E:$E,"Yes")</f>
        <v>2</v>
      </c>
    </row>
    <row r="6" spans="1:2" ht="18" customHeight="1" x14ac:dyDescent="0.3">
      <c r="A6" s="2" t="s">
        <v>13</v>
      </c>
      <c r="B6" s="8">
        <f>COUNTIFS(feedbacks!$G:$G,A6,feedbacks!$E:$E,"Yes")</f>
        <v>2</v>
      </c>
    </row>
    <row r="7" spans="1:2" ht="18" customHeight="1" x14ac:dyDescent="0.3">
      <c r="A7" s="2" t="s">
        <v>22</v>
      </c>
      <c r="B7" s="8">
        <f>COUNTIFS(feedbacks!$G:$G,A7,feedbacks!$E:$E,"Yes")</f>
        <v>1</v>
      </c>
    </row>
    <row r="9" spans="1:2" x14ac:dyDescent="0.3">
      <c r="A9" s="7" t="s">
        <v>66</v>
      </c>
    </row>
    <row r="10" spans="1:2" x14ac:dyDescent="0.3">
      <c r="A10" s="1" t="s">
        <v>64</v>
      </c>
      <c r="B10" s="1" t="s">
        <v>67</v>
      </c>
    </row>
    <row r="11" spans="1:2" ht="18" customHeight="1" x14ac:dyDescent="0.3">
      <c r="A11" s="2" t="s">
        <v>8</v>
      </c>
      <c r="B11" s="8">
        <f>COUNTIFS(feedbacks!$G:$G,A11,feedbacks!$F:$F,"Yes")</f>
        <v>1</v>
      </c>
    </row>
    <row r="12" spans="1:2" ht="18" customHeight="1" x14ac:dyDescent="0.3">
      <c r="A12" s="2" t="s">
        <v>13</v>
      </c>
      <c r="B12" s="8">
        <f>COUNTIFS(feedbacks!$G:$G,A12,feedbacks!$F:$F,"Yes")</f>
        <v>2</v>
      </c>
    </row>
    <row r="13" spans="1:2" ht="18" customHeight="1" x14ac:dyDescent="0.3">
      <c r="A13" s="2" t="s">
        <v>22</v>
      </c>
      <c r="B13" s="8">
        <f>COUNTIFS(feedbacks!$G:$G,A13,feedbacks!$F:$F,"Yes")</f>
        <v>1</v>
      </c>
    </row>
    <row r="15" spans="1:2" ht="39.75" customHeight="1" x14ac:dyDescent="0.3">
      <c r="A15" s="9" t="s">
        <v>68</v>
      </c>
      <c r="B15" s="9"/>
    </row>
  </sheetData>
  <mergeCells count="1">
    <mergeCell ref="A15:B15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</vt:lpstr>
      <vt:lpstr>feedbacks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kanumuri kusala sri</cp:lastModifiedBy>
  <cp:revision>0</cp:revision>
  <dcterms:created xsi:type="dcterms:W3CDTF">2026-04-08T12:16:40Z</dcterms:created>
  <dcterms:modified xsi:type="dcterms:W3CDTF">2026-04-08T13:36:13Z</dcterms:modified>
  <dc:language>en-US</dc:language>
</cp:coreProperties>
</file>